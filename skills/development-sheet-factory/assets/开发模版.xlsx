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0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<sst xmlns="http://schemas.openxmlformats.org/spreadsheetml/2006/main" count="61" uniqueCount="60">
  <si>
    <t>YL</t>
  </si>
  <si>
    <t>运营名称</t>
  </si>
  <si>
    <t>亚马逊参考链接1</t>
  </si>
  <si>
    <t>亚马逊参考链接2</t>
  </si>
  <si>
    <t>亚马逊参考链接3</t>
  </si>
  <si>
    <t>产品图片</t>
  </si>
  <si>
    <t>同款产品定价区间</t>
  </si>
  <si>
    <t>1688采购网址</t>
  </si>
  <si>
    <t>1688采购价
（100套)</t>
  </si>
  <si>
    <t>1688采购价
（50套)</t>
  </si>
  <si>
    <t>套装详情</t>
  </si>
  <si>
    <t>产品材质</t>
  </si>
  <si>
    <t>是否季节性产品</t>
  </si>
  <si>
    <t>季节性产品
主要销售月份说明</t>
  </si>
  <si>
    <t>欧洲是否有专利</t>
  </si>
  <si>
    <t>市场评分</t>
  </si>
  <si>
    <t>市场主要差评说明</t>
  </si>
  <si>
    <t>二次开发推荐说明</t>
  </si>
  <si>
    <t>该供应商推荐产品链接1</t>
  </si>
  <si>
    <t>该供应商推荐产品链接2</t>
  </si>
  <si>
    <t>运营反馈</t>
  </si>
  <si>
    <t>开发推荐卖点</t>
  </si>
  <si>
    <t>欧洲汇率</t>
  </si>
  <si>
    <t>空派：</t>
  </si>
  <si>
    <t>注意：部分产品材质需确认有无附加，具体附加费多少需更改进头程单价费用（凯奇物流）
1.如：加工木+2；半纺织+2; 刀类工具（长度&lt;=15cm)+2，笔类+2；
2.品名带有自行车和汽车配件字眼物流需要收取附加费2</t>
  </si>
  <si>
    <t>注意：
一次性塑料用品不选；
原木、粉末、液体、带电以及带磁、以及穿戴类纯纺织类的产品禁选；</t>
  </si>
  <si>
    <t>铁路：</t>
  </si>
  <si>
    <t>产品名称</t>
  </si>
  <si>
    <t>主卖站点</t>
  </si>
  <si>
    <t>重量(Kg)</t>
  </si>
  <si>
    <t>尺寸(cm)</t>
  </si>
  <si>
    <t>产品定价(€)</t>
  </si>
  <si>
    <t>成本</t>
  </si>
  <si>
    <t>利润</t>
  </si>
  <si>
    <t>德国</t>
  </si>
  <si>
    <t>毛重(Kg)</t>
  </si>
  <si>
    <t>体积重(Kg)</t>
  </si>
  <si>
    <t>长</t>
  </si>
  <si>
    <t>宽</t>
  </si>
  <si>
    <t>高</t>
  </si>
  <si>
    <t>前期定价(€)</t>
  </si>
  <si>
    <t>后期定价(€)</t>
  </si>
  <si>
    <t>FBA费用(€)</t>
  </si>
  <si>
    <t>平台佣金(€)</t>
  </si>
  <si>
    <t>计费重头程(¥)</t>
  </si>
  <si>
    <t>计费重头程
(¥)</t>
  </si>
  <si>
    <t>采购单价(¥)</t>
  </si>
  <si>
    <t>采购单价(€)</t>
  </si>
  <si>
    <t>采购占比</t>
  </si>
  <si>
    <t>退货率(€)</t>
  </si>
  <si>
    <t>vat</t>
  </si>
  <si>
    <t>推广费(€)</t>
  </si>
  <si>
    <t>汇损(€)</t>
  </si>
  <si>
    <t>总成本(€)</t>
  </si>
  <si>
    <t>单件利润(€)</t>
  </si>
  <si>
    <t>单件利润(¥)</t>
  </si>
  <si>
    <t>毛利率</t>
  </si>
  <si>
    <t>运输方式</t>
  </si>
  <si>
    <t>ROI</t>
  </si>
  <si>
    <t>卡航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</si>
</sst>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3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1"/>
      <color indexed="8"/>
      <name val="微软雅黑"/>
      <charset val="134"/>
    </font>
    <font>
      <b/>
      <sz val="11"/>
      <color theme="0"/>
      <name val="微软雅黑"/>
      <charset val="134"/>
    </font>
    <font>
      <b/>
      <sz val="11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sz val="11"/>
      <color rgb="FF222222"/>
      <name val="微软雅黑"/>
      <charset val="134"/>
    </font>
    <font>
      <u/>
      <sz val="11"/>
      <color rgb="FF0000FF"/>
      <name val="宋体"/>
      <charset val="0"/>
      <scheme val="minor"/>
    </font>
    <font>
      <sz val="9"/>
      <color rgb="FF333333"/>
      <name val="宋体"/>
      <charset val="134"/>
    </font>
    <font>
      <u/>
      <sz val="11"/>
      <color rgb="FF0000FF"/>
      <name val="微软雅黑"/>
      <charset val="0"/>
    </font>
    <font>
      <sz val="11"/>
      <color rgb="FF171A1D"/>
      <name val="微软雅黑"/>
      <charset val="134"/>
    </font>
    <font>
      <sz val="11"/>
      <color rgb="FFFF0000"/>
      <name val="微软雅黑"/>
      <charset val="134"/>
    </font>
    <font>
      <sz val="11"/>
      <color rgb="FF333333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6E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5" fillId="0" borderId="0">
      <alignment vertical="center"/>
    </xf>
    <xf numFmtId="0" fontId="0" fillId="10" borderId="13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14">
      <alignment vertical="center"/>
    </xf>
    <xf numFmtId="0" fontId="20" fillId="0" borderId="14">
      <alignment vertical="center"/>
    </xf>
    <xf numFmtId="0" fontId="21" fillId="0" borderId="15">
      <alignment vertical="center"/>
    </xf>
    <xf numFmtId="0" fontId="21" fillId="0" borderId="0">
      <alignment vertical="center"/>
    </xf>
    <xf numFmtId="0" fontId="22" fillId="11" borderId="16">
      <alignment vertical="center"/>
    </xf>
    <xf numFmtId="0" fontId="23" fillId="12" borderId="17">
      <alignment vertical="center"/>
    </xf>
    <xf numFmtId="0" fontId="24" fillId="12" borderId="16">
      <alignment vertical="center"/>
    </xf>
    <xf numFmtId="0" fontId="25" fillId="13" borderId="18">
      <alignment vertical="center"/>
    </xf>
    <xf numFmtId="0" fontId="26" fillId="0" borderId="19">
      <alignment vertical="center"/>
    </xf>
    <xf numFmtId="0" fontId="27" fillId="0" borderId="2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30" fillId="16" borderId="0">
      <alignment vertical="center"/>
    </xf>
    <xf numFmtId="0" fontId="31" fillId="17" borderId="0">
      <alignment vertical="center"/>
    </xf>
    <xf numFmtId="0" fontId="32" fillId="18" borderId="0">
      <alignment vertical="center"/>
    </xf>
    <xf numFmtId="0" fontId="32" fillId="19" borderId="0">
      <alignment vertical="center"/>
    </xf>
    <xf numFmtId="0" fontId="31" fillId="20" borderId="0">
      <alignment vertical="center"/>
    </xf>
    <xf numFmtId="0" fontId="31" fillId="2" borderId="0">
      <alignment vertical="center"/>
    </xf>
    <xf numFmtId="0" fontId="32" fillId="21" borderId="0">
      <alignment vertical="center"/>
    </xf>
    <xf numFmtId="0" fontId="32" fillId="22" borderId="0">
      <alignment vertical="center"/>
    </xf>
    <xf numFmtId="0" fontId="31" fillId="23" borderId="0">
      <alignment vertical="center"/>
    </xf>
    <xf numFmtId="0" fontId="31" fillId="24" borderId="0">
      <alignment vertical="center"/>
    </xf>
    <xf numFmtId="0" fontId="32" fillId="25" borderId="0">
      <alignment vertical="center"/>
    </xf>
    <xf numFmtId="0" fontId="32" fillId="26" borderId="0">
      <alignment vertical="center"/>
    </xf>
    <xf numFmtId="0" fontId="31" fillId="27" borderId="0">
      <alignment vertical="center"/>
    </xf>
    <xf numFmtId="0" fontId="31" fillId="28" borderId="0">
      <alignment vertical="center"/>
    </xf>
    <xf numFmtId="0" fontId="32" fillId="29" borderId="0">
      <alignment vertical="center"/>
    </xf>
    <xf numFmtId="0" fontId="32" fillId="30" borderId="0">
      <alignment vertical="center"/>
    </xf>
    <xf numFmtId="0" fontId="31" fillId="31" borderId="0">
      <alignment vertical="center"/>
    </xf>
    <xf numFmtId="0" fontId="31" fillId="32" borderId="0">
      <alignment vertical="center"/>
    </xf>
    <xf numFmtId="0" fontId="32" fillId="33" borderId="0">
      <alignment vertical="center"/>
    </xf>
    <xf numFmtId="0" fontId="32" fillId="34" borderId="0">
      <alignment vertical="center"/>
    </xf>
    <xf numFmtId="0" fontId="31" fillId="35" borderId="0">
      <alignment vertical="center"/>
    </xf>
    <xf numFmtId="0" fontId="31" fillId="7" borderId="0">
      <alignment vertical="center"/>
    </xf>
    <xf numFmtId="0" fontId="32" fillId="36" borderId="0">
      <alignment vertical="center"/>
    </xf>
    <xf numFmtId="0" fontId="32" fillId="37" borderId="0">
      <alignment vertical="center"/>
    </xf>
    <xf numFmtId="0" fontId="31" fillId="38" borderId="0">
      <alignment vertical="center"/>
    </xf>
    <xf numFmtId="0" fontId="0" fillId="0" borderId="0">
      <alignment vertical="center"/>
    </xf>
    <xf numFmtId="9" fontId="0" fillId="0" borderId="0">
      <alignment vertical="center"/>
    </xf>
  </cellStyleXfs>
  <cellXfs count="7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49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/>
    <xf numFmtId="0" fontId="0" fillId="0" borderId="0" xfId="0" applyAlignme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9" fillId="0" borderId="1" xfId="6" applyBorder="1" applyAlignment="1">
      <alignment horizontal="distributed" vertical="center" wrapText="1"/>
    </xf>
    <xf numFmtId="0" fontId="9" fillId="0" borderId="1" xfId="6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49" applyFont="1" applyBorder="1" applyAlignment="1">
      <alignment vertical="center" wrapText="1"/>
    </xf>
    <xf numFmtId="0" fontId="1" fillId="0" borderId="1" xfId="49" applyFont="1" applyBorder="1" applyAlignment="1">
      <alignment vertical="center"/>
    </xf>
    <xf numFmtId="0" fontId="1" fillId="0" borderId="1" xfId="49" applyFont="1" applyBorder="1" applyAlignment="1">
      <alignment horizontal="center" vertical="center"/>
    </xf>
    <xf numFmtId="0" fontId="11" fillId="0" borderId="1" xfId="6" applyFont="1" applyBorder="1" applyAlignment="1">
      <alignment vertical="center" wrapText="1"/>
    </xf>
    <xf numFmtId="0" fontId="11" fillId="0" borderId="3" xfId="6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6" borderId="1" xfId="49" applyFont="1" applyFill="1" applyBorder="1" applyAlignment="1">
      <alignment horizontal="center" vertical="center" wrapText="1"/>
    </xf>
    <xf numFmtId="0" fontId="1" fillId="0" borderId="1" xfId="49" applyFont="1" applyBorder="1" applyAlignment="1"/>
    <xf numFmtId="0" fontId="1" fillId="0" borderId="1" xfId="49" applyFont="1" applyBorder="1" applyAlignment="1">
      <alignment horizontal="center" wrapText="1"/>
    </xf>
    <xf numFmtId="0" fontId="1" fillId="0" borderId="1" xfId="49" applyFont="1" applyBorder="1" applyAlignment="1">
      <alignment wrapText="1"/>
    </xf>
    <xf numFmtId="0" fontId="1" fillId="0" borderId="2" xfId="49" applyFont="1" applyBorder="1" applyAlignment="1"/>
    <xf numFmtId="0" fontId="1" fillId="0" borderId="1" xfId="49" applyFont="1" applyBorder="1" applyAlignment="1">
      <alignment horizontal="center"/>
    </xf>
    <xf numFmtId="0" fontId="1" fillId="0" borderId="3" xfId="49" applyFont="1" applyBorder="1" applyAlignment="1"/>
    <xf numFmtId="0" fontId="12" fillId="0" borderId="1" xfId="0" applyFont="1" applyBorder="1" applyAlignment="1">
      <alignment horizontal="left"/>
    </xf>
    <xf numFmtId="0" fontId="13" fillId="0" borderId="1" xfId="49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0" fontId="13" fillId="0" borderId="6" xfId="49" applyFont="1" applyBorder="1" applyAlignment="1">
      <alignment horizontal="center" vertical="top" wrapText="1"/>
    </xf>
    <xf numFmtId="0" fontId="13" fillId="0" borderId="5" xfId="49" applyFont="1" applyBorder="1" applyAlignment="1">
      <alignment horizontal="left" vertical="top" wrapText="1"/>
    </xf>
    <xf numFmtId="0" fontId="0" fillId="0" borderId="7" xfId="0" applyBorder="1" applyAlignment="1"/>
    <xf numFmtId="0" fontId="1" fillId="3" borderId="1" xfId="49" applyFont="1" applyFill="1" applyBorder="1" applyAlignment="1">
      <alignment horizontal="center"/>
    </xf>
    <xf numFmtId="0" fontId="1" fillId="3" borderId="1" xfId="49" applyFont="1" applyFill="1" applyBorder="1" applyAlignment="1">
      <alignment horizontal="left"/>
    </xf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13" fillId="0" borderId="10" xfId="49" applyFont="1" applyBorder="1" applyAlignment="1">
      <alignment horizontal="left" vertical="top" wrapText="1"/>
    </xf>
    <xf numFmtId="0" fontId="2" fillId="0" borderId="11" xfId="0" applyFont="1" applyBorder="1" applyAlignment="1">
      <alignment horizontal="center" vertical="center"/>
    </xf>
    <xf numFmtId="0" fontId="6" fillId="7" borderId="11" xfId="49" applyFont="1" applyFill="1" applyBorder="1" applyAlignment="1">
      <alignment horizontal="center" vertical="center" wrapText="1"/>
    </xf>
    <xf numFmtId="0" fontId="7" fillId="5" borderId="1" xfId="49" applyFont="1" applyFill="1" applyBorder="1" applyAlignment="1">
      <alignment horizontal="center" vertical="center" wrapText="1"/>
    </xf>
    <xf numFmtId="0" fontId="5" fillId="5" borderId="1" xfId="49" applyFont="1" applyFill="1" applyBorder="1" applyAlignment="1">
      <alignment horizontal="center" wrapText="1"/>
    </xf>
    <xf numFmtId="0" fontId="5" fillId="5" borderId="1" xfId="49" applyFont="1" applyFill="1" applyBorder="1" applyAlignment="1">
      <alignment horizontal="center"/>
    </xf>
    <xf numFmtId="0" fontId="5" fillId="5" borderId="6" xfId="49" applyFont="1" applyFill="1" applyBorder="1" applyAlignment="1">
      <alignment horizontal="center"/>
    </xf>
    <xf numFmtId="0" fontId="5" fillId="6" borderId="2" xfId="49" applyFont="1" applyFill="1" applyBorder="1" applyAlignment="1">
      <alignment horizontal="center"/>
    </xf>
    <xf numFmtId="0" fontId="5" fillId="6" borderId="3" xfId="49" applyFont="1" applyFill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6" fillId="7" borderId="7" xfId="49" applyFont="1" applyFill="1" applyBorder="1" applyAlignment="1">
      <alignment horizontal="center" vertical="center" wrapText="1"/>
    </xf>
    <xf numFmtId="0" fontId="7" fillId="5" borderId="1" xfId="49" applyFont="1" applyFill="1" applyBorder="1" applyAlignment="1">
      <alignment horizontal="center" wrapText="1"/>
    </xf>
    <xf numFmtId="0" fontId="6" fillId="6" borderId="1" xfId="49" applyFont="1" applyFill="1" applyBorder="1" applyAlignment="1">
      <alignment horizontal="center" wrapText="1"/>
    </xf>
    <xf numFmtId="0" fontId="6" fillId="5" borderId="1" xfId="49" applyFont="1" applyFill="1" applyBorder="1" applyAlignment="1">
      <alignment horizontal="center"/>
    </xf>
    <xf numFmtId="0" fontId="6" fillId="6" borderId="1" xfId="49" applyFont="1" applyFill="1" applyBorder="1" applyAlignment="1">
      <alignment horizontal="center"/>
    </xf>
    <xf numFmtId="0" fontId="5" fillId="6" borderId="1" xfId="49" applyFont="1" applyFill="1" applyBorder="1" applyAlignment="1">
      <alignment horizontal="center"/>
    </xf>
    <xf numFmtId="0" fontId="6" fillId="0" borderId="1" xfId="49" applyFont="1" applyBorder="1" applyAlignment="1">
      <alignment horizontal="center"/>
    </xf>
    <xf numFmtId="0" fontId="5" fillId="8" borderId="1" xfId="49" applyFont="1" applyFill="1" applyBorder="1" applyAlignment="1">
      <alignment horizontal="center"/>
    </xf>
    <xf numFmtId="0" fontId="13" fillId="8" borderId="1" xfId="49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1" fillId="0" borderId="1" xfId="49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76" fontId="1" fillId="0" borderId="1" xfId="49" applyNumberFormat="1" applyFont="1" applyBorder="1" applyAlignment="1">
      <alignment horizontal="center" wrapText="1"/>
    </xf>
    <xf numFmtId="0" fontId="1" fillId="9" borderId="1" xfId="49" applyFont="1" applyFill="1" applyBorder="1" applyAlignment="1">
      <alignment horizontal="center" vertical="center"/>
    </xf>
    <xf numFmtId="176" fontId="1" fillId="0" borderId="1" xfId="49" applyNumberFormat="1" applyFont="1" applyBorder="1" applyAlignment="1">
      <alignment horizontal="center"/>
    </xf>
    <xf numFmtId="10" fontId="1" fillId="0" borderId="1" xfId="49" applyNumberFormat="1" applyFont="1" applyBorder="1" applyAlignment="1">
      <alignment horizontal="center"/>
    </xf>
    <xf numFmtId="176" fontId="1" fillId="8" borderId="1" xfId="49" applyNumberFormat="1" applyFont="1" applyFill="1" applyBorder="1" applyAlignment="1">
      <alignment horizontal="center"/>
    </xf>
    <xf numFmtId="9" fontId="1" fillId="9" borderId="1" xfId="50" applyFont="1" applyFill="1" applyBorder="1" applyAlignment="1">
      <alignment horizontal="center"/>
    </xf>
    <xf numFmtId="177" fontId="1" fillId="0" borderId="1" xfId="49" applyNumberFormat="1" applyFont="1" applyBorder="1" applyAlignment="1">
      <alignment horizont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百分比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"/>
  <sheetViews>
    <sheetView tabSelected="1" zoomScale="84" zoomScaleNormal="84" workbookViewId="0">
      <selection activeCell="C18" sqref="C18"/>
    </sheetView>
  </sheetViews>
  <sheetFormatPr defaultColWidth="9" defaultRowHeight="16.8" outlineLevelRow="6"/>
  <cols>
    <col min="3" max="4" width="11.0576923076923" style="6" customWidth="1"/>
    <col min="11" max="11" width="9.07692307692308"/>
  </cols>
  <sheetData>
    <row r="1" s="1" customFormat="1" ht="69.95" customHeight="1" spans="1:27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1"/>
      <c r="H1" s="12"/>
      <c r="I1" s="13" t="s">
        <v>6</v>
      </c>
      <c r="J1" s="14" t="s">
        <v>7</v>
      </c>
      <c r="K1" s="15" t="s">
        <v>8</v>
      </c>
      <c r="L1" s="15" t="s">
        <v>9</v>
      </c>
      <c r="M1" s="14" t="s">
        <v>10</v>
      </c>
      <c r="N1" s="14" t="s">
        <v>11</v>
      </c>
      <c r="O1" s="15" t="s">
        <v>12</v>
      </c>
      <c r="P1" s="15" t="s">
        <v>13</v>
      </c>
      <c r="Q1" s="12"/>
      <c r="R1" s="15" t="s">
        <v>14</v>
      </c>
      <c r="S1" s="16" t="s">
        <v>15</v>
      </c>
      <c r="T1" s="10" t="s">
        <v>16</v>
      </c>
      <c r="U1" s="12"/>
      <c r="V1" s="17" t="s">
        <v>17</v>
      </c>
      <c r="W1" s="15" t="s">
        <v>18</v>
      </c>
      <c r="X1" s="15" t="s">
        <v>19</v>
      </c>
      <c r="Y1" s="18" t="s">
        <v>20</v>
      </c>
      <c r="Z1" s="11"/>
      <c r="AA1" s="12"/>
    </row>
    <row r="2" s="2" customFormat="1" ht="147" customHeight="1" spans="1:27">
      <c r="A2" s="19"/>
      <c r="B2" s="20"/>
      <c r="C2" s="21"/>
      <c r="D2" s="21"/>
      <c r="E2" s="22"/>
      <c r="F2" s="20"/>
      <c r="G2" s="11"/>
      <c r="H2" s="12"/>
      <c r="I2" s="19"/>
      <c r="J2" s="22"/>
      <c r="K2" s="22"/>
      <c r="L2" s="22"/>
      <c r="M2" s="19"/>
      <c r="N2" s="23"/>
      <c r="O2" s="24"/>
      <c r="P2" s="20"/>
      <c r="Q2" s="12"/>
      <c r="R2" s="25"/>
      <c r="S2" s="26"/>
      <c r="T2" s="27"/>
      <c r="U2" s="12"/>
      <c r="V2" s="28"/>
      <c r="W2" s="28"/>
      <c r="X2" s="29"/>
      <c r="Y2" s="30"/>
      <c r="Z2" s="30"/>
    </row>
    <row r="3" s="3" customFormat="1" ht="28" customHeight="1" spans="1:27">
      <c r="A3" s="31" t="s">
        <v>21</v>
      </c>
      <c r="B3" s="32"/>
      <c r="C3" s="33" t="s">
        <v>22</v>
      </c>
      <c r="D3" s="33">
        <v>6.9</v>
      </c>
      <c r="E3" s="34"/>
      <c r="F3" s="32"/>
      <c r="G3" s="35"/>
      <c r="H3" s="36"/>
      <c r="I3" s="37"/>
      <c r="J3" s="36"/>
      <c r="K3" s="36" t="s">
        <v>23</v>
      </c>
      <c r="L3" s="38">
        <v>27</v>
      </c>
      <c r="M3" s="39" t="s">
        <v>24</v>
      </c>
      <c r="N3" s="40"/>
      <c r="O3" s="40"/>
      <c r="P3" s="40"/>
      <c r="Q3" s="40"/>
      <c r="R3" s="40"/>
      <c r="S3" s="40"/>
      <c r="T3" s="40"/>
      <c r="U3" s="41"/>
      <c r="V3" s="42" t="s">
        <v>25</v>
      </c>
      <c r="W3" s="40"/>
      <c r="X3" s="40"/>
      <c r="Y3" s="40"/>
      <c r="Z3" s="40"/>
      <c r="AA3" s="43"/>
    </row>
    <row r="4" s="3" customFormat="1" ht="76" customHeight="1" spans="1:27">
      <c r="A4" s="44"/>
      <c r="B4" s="32"/>
      <c r="C4" s="33"/>
      <c r="D4" s="33"/>
      <c r="E4" s="33"/>
      <c r="F4" s="36"/>
      <c r="G4" s="36"/>
      <c r="H4" s="36"/>
      <c r="I4" s="36"/>
      <c r="J4" s="36"/>
      <c r="K4" s="45" t="s">
        <v>26</v>
      </c>
      <c r="L4" s="46">
        <v>10</v>
      </c>
      <c r="M4" s="47"/>
      <c r="N4" s="48"/>
      <c r="O4" s="48"/>
      <c r="P4" s="48"/>
      <c r="Q4" s="48"/>
      <c r="R4" s="48"/>
      <c r="S4" s="48"/>
      <c r="T4" s="48"/>
      <c r="U4" s="49"/>
      <c r="V4" s="47"/>
      <c r="W4" s="48"/>
      <c r="X4" s="48"/>
      <c r="Y4" s="48"/>
      <c r="Z4" s="48"/>
      <c r="AA4" s="50"/>
    </row>
    <row r="5" s="4" customFormat="1" ht="41" customHeight="1" spans="1:27">
      <c r="A5" s="51"/>
      <c r="B5" s="52" t="s">
        <v>27</v>
      </c>
      <c r="C5" s="53" t="s">
        <v>28</v>
      </c>
      <c r="D5" s="54" t="s">
        <v>29</v>
      </c>
      <c r="E5" s="12"/>
      <c r="F5" s="55" t="s">
        <v>30</v>
      </c>
      <c r="G5" s="11"/>
      <c r="H5" s="12"/>
      <c r="I5" s="55" t="s">
        <v>31</v>
      </c>
      <c r="J5" s="55"/>
      <c r="K5" s="56" t="s">
        <v>32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57" t="s">
        <v>33</v>
      </c>
      <c r="X5" s="11"/>
      <c r="Y5" s="11"/>
      <c r="Z5" s="11"/>
      <c r="AA5" s="58"/>
    </row>
    <row r="6" s="5" customFormat="1" ht="45" customHeight="1" spans="1:27">
      <c r="A6" s="59"/>
      <c r="B6" s="60"/>
      <c r="C6" s="61" t="s">
        <v>34</v>
      </c>
      <c r="D6" s="62" t="s">
        <v>35</v>
      </c>
      <c r="E6" s="62" t="s">
        <v>36</v>
      </c>
      <c r="F6" s="63" t="s">
        <v>37</v>
      </c>
      <c r="G6" s="63" t="s">
        <v>38</v>
      </c>
      <c r="H6" s="63" t="s">
        <v>39</v>
      </c>
      <c r="I6" s="64" t="s">
        <v>40</v>
      </c>
      <c r="J6" s="64" t="s">
        <v>41</v>
      </c>
      <c r="K6" s="65" t="s">
        <v>42</v>
      </c>
      <c r="L6" s="66" t="s">
        <v>43</v>
      </c>
      <c r="M6" s="64" t="s">
        <v>44</v>
      </c>
      <c r="N6" s="66" t="s">
        <v>45</v>
      </c>
      <c r="O6" s="64" t="s">
        <v>46</v>
      </c>
      <c r="P6" s="66" t="s">
        <v>47</v>
      </c>
      <c r="Q6" s="63" t="s">
        <v>48</v>
      </c>
      <c r="R6" s="66" t="s">
        <v>49</v>
      </c>
      <c r="S6" s="66" t="s">
        <v>50</v>
      </c>
      <c r="T6" s="66" t="s">
        <v>51</v>
      </c>
      <c r="U6" s="66" t="s">
        <v>52</v>
      </c>
      <c r="V6" s="66" t="s">
        <v>53</v>
      </c>
      <c r="W6" s="66" t="s">
        <v>54</v>
      </c>
      <c r="X6" s="66" t="s">
        <v>55</v>
      </c>
      <c r="Y6" s="64" t="s">
        <v>56</v>
      </c>
      <c r="Z6" s="67" t="s">
        <v>57</v>
      </c>
      <c r="AA6" s="68" t="s">
        <v>58</v>
      </c>
    </row>
    <row r="7" s="4" customFormat="1" ht="31" customHeight="1" spans="1:27">
      <c r="A7" s="69"/>
      <c r="B7" s="70"/>
      <c r="C7" s="33" t="s">
        <v>34</v>
      </c>
      <c r="D7" s="71"/>
      <c r="E7" s="72">
        <f>F7*G7*H7/5000</f>
        <v>0</v>
      </c>
      <c r="F7" s="27"/>
      <c r="G7" s="27"/>
      <c r="H7" s="27"/>
      <c r="I7" s="27"/>
      <c r="J7" s="73"/>
      <c r="K7" s="70" t="e">
        <f>IF(J7&lt;=11,IF(AND(MAX(F7:H7)&lt;=33,MEDIAN(F7:H7)&lt;=23,MIN(F7:H7)&lt;=2.5),LOOKUP(D7*1000,{0,41,61,81,101,211,461},{1.64,1.66,1.8,1.83,1.86,2.02,2.02}),IF(AND(MAX(F7:H7)&lt;=33,MEDIAN(F7:H7)&lt;=23,MIN(F7:H7)&lt;=4),2.39,IF(AND(MAX(F7:H7)&lt;=33,MEDIAN(F7:H7)&lt;=23,MIN(F7:H7)&lt;=6),2.78,IF(AND(MAX(F7:H7)&lt;=35,MEDIAN(F7:H7)&lt;=25,MIN(F7:H7)&lt;=12),IF(D7*1000&lt;=150,2.78,2.99),"尺寸超标")))),IF(AND(MAX(F7:H7)&lt;=33,MEDIAN(F7:H7)&lt;=23,MIN(F7:H7)&lt;=2.5),LOOKUP(MAX(D7*1000,(F7*G7*H7)/5),{0,21,41,61,81,101,211,461},{2.07,2.11,2.13,2.26,2.28,2.31,2.42,2.42}),IF(AND(MAX(F7:H7)&lt;=33,MEDIAN(F7:H7)&lt;=23,MIN(F7:H7)&lt;=4),2.78,IF(AND(MAX(F7:H7)&lt;=33,MEDIAN(F7:H7)&lt;=23,MIN(F7:H7)&lt;=6),3.16,IF(AND(MAX(F7:H7)&lt;=35,MEDIAN(F7:H7)&lt;=25,MIN(F7:H7)&lt;=12),LOOKUP(MAX(D7*1000,(F7*G7*H7)/5),{0,151,401,901,1401,1901,3901},{3.12,3.13,3.14,3.15,3.17,4.28,4.28}),IF(AND(MAX(F7:H7)&lt;=45,MEDIAN(F7:H7)&lt;=34,MIN(F7:H7)&lt;=26),LOOKUP(MAX(D7*1000,(F7*G7*H7)/5),{0,151,401,901,1401,1901,2901,3901,5901,8901,11901},{3.13,3.16,3.18,3.67,3.69,4.29,4.83,4.96,5.77,6.39,6.39}),IF(AND(MAX(F7:H7)&lt;=61,MEDIAN(F7:H7)&lt;=46,MIN(F7:H7)&lt;=46),4.3,IF(AND(MAX(F7:H7)&lt;=101,MEDIAN(F7:H7)&lt;=60,MIN(F7:H7)&lt;=60),4.33,"超大件"))))))))</f>
        <v>#NUM!</v>
      </c>
      <c r="L7" s="74">
        <f>J7*15%</f>
        <v>0</v>
      </c>
      <c r="M7" s="74">
        <f>MAX(D7:E7)*L4</f>
        <v>0</v>
      </c>
      <c r="N7" s="74">
        <f>M7/D3</f>
        <v>0</v>
      </c>
      <c r="O7" s="27">
        <f>K2</f>
        <v>0</v>
      </c>
      <c r="P7" s="74">
        <f>O7/D3</f>
        <v>0</v>
      </c>
      <c r="Q7" s="75" t="e">
        <f>P7/J7</f>
        <v>#DIV/0!</v>
      </c>
      <c r="R7" s="74">
        <f>J7*6%</f>
        <v>0</v>
      </c>
      <c r="S7" s="74">
        <f>J7*19%</f>
        <v>0</v>
      </c>
      <c r="T7" s="74">
        <f>J7*10%</f>
        <v>0</v>
      </c>
      <c r="U7" s="74">
        <f>J7*1%</f>
        <v>0</v>
      </c>
      <c r="V7" s="74" t="e">
        <f>K7+L7+N7+P7+R7+T7+S7+U7</f>
        <v>#NUM!</v>
      </c>
      <c r="W7" s="74" t="e">
        <f>J7-V7</f>
        <v>#NUM!</v>
      </c>
      <c r="X7" s="76" t="e">
        <f>W7*D3</f>
        <v>#NUM!</v>
      </c>
      <c r="Y7" s="77" t="e">
        <f>W7/J7</f>
        <v>#NUM!</v>
      </c>
      <c r="Z7" s="45" t="s">
        <v>59</v>
      </c>
      <c r="AA7" s="78" t="e">
        <f>X7/(M7+O7)</f>
        <v>#NUM!</v>
      </c>
    </row>
  </sheetData>
  <mergeCells count="14">
    <mergeCell ref="F1:H1"/>
    <mergeCell ref="P1:Q1"/>
    <mergeCell ref="T1:U1"/>
    <mergeCell ref="Y1:AA1"/>
    <mergeCell ref="F2:H2"/>
    <mergeCell ref="P2:Q2"/>
    <mergeCell ref="T2:U2"/>
    <mergeCell ref="D5:E5"/>
    <mergeCell ref="F5:H5"/>
    <mergeCell ref="K5:V5"/>
    <mergeCell ref="W5:Z5"/>
    <mergeCell ref="A3:A4"/>
    <mergeCell ref="V3:Z4"/>
    <mergeCell ref="M3:U4"/>
  </mergeCells>
  <dataValidations count="4">
    <dataValidation type="list" allowBlank="1" showInputMessage="1" showErrorMessage="1" sqref="O2">
      <formula1>"是,否"</formula1>
    </dataValidation>
    <dataValidation type="list" allowBlank="1" showInputMessage="1" showErrorMessage="1" sqref="Q2">
      <formula1>"是,否,暂未查到"</formula1>
    </dataValidation>
    <dataValidation type="list" allowBlank="1" showInputMessage="1" showErrorMessage="1" sqref="C7">
      <formula1>"德国,法国,意大利,西班牙,德意法西"</formula1>
    </dataValidation>
    <dataValidation type="list" allowBlank="1" showInputMessage="1" showErrorMessage="1" sqref="C5:C6">
      <formula1>"德国,法国,意大利,西班牙,德意法西,主卖站点"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罗奇</cp:lastModifiedBy>
  <dcterms:created xsi:type="dcterms:W3CDTF">2026-03-07T18:07:00Z</dcterms:created>
  <dcterms:modified xsi:type="dcterms:W3CDTF">2026-03-31T16:21:13Z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18B19822DFCD4DD985EDD15074620E66_11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